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Budget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Rep Name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Target</t>
        </is>
      </c>
      <c r="H1" s="1" t="inlineStr">
        <is>
          <t>Attainment %</t>
        </is>
      </c>
    </row>
    <row r="2">
      <c r="A2" t="inlineStr">
        <is>
          <t>Mia Hoffmann</t>
        </is>
      </c>
      <c r="B2" t="inlineStr">
        <is>
          <t>DACH</t>
        </is>
      </c>
      <c r="C2" t="inlineStr">
        <is>
          <t>Kern Pro</t>
        </is>
      </c>
      <c r="D2" t="n">
        <v>142</v>
      </c>
      <c r="E2" s="2" t="n">
        <v>29.99</v>
      </c>
      <c r="F2" s="2">
        <f>D2*E2</f>
        <v/>
      </c>
      <c r="G2" s="2" t="n">
        <v>4000</v>
      </c>
      <c r="H2" s="3">
        <f>F2/G2</f>
        <v/>
      </c>
    </row>
    <row r="3">
      <c r="A3" t="inlineStr">
        <is>
          <t>Lukas Bauer</t>
        </is>
      </c>
      <c r="B3" t="inlineStr">
        <is>
          <t>DACH</t>
        </is>
      </c>
      <c r="C3" t="inlineStr">
        <is>
          <t>Kern Basic</t>
        </is>
      </c>
      <c r="D3" t="n">
        <v>310</v>
      </c>
      <c r="E3" s="2" t="n">
        <v>9.99</v>
      </c>
      <c r="F3" s="2">
        <f>D3*E3</f>
        <v/>
      </c>
      <c r="G3" s="2" t="n">
        <v>3000</v>
      </c>
      <c r="H3" s="3">
        <f>F3/G3</f>
        <v/>
      </c>
    </row>
    <row r="4">
      <c r="A4" t="inlineStr">
        <is>
          <t>Asel Nurlanovna</t>
        </is>
      </c>
      <c r="B4" t="inlineStr">
        <is>
          <t>CIS</t>
        </is>
      </c>
      <c r="C4" t="inlineStr">
        <is>
          <t>Kern Pro</t>
        </is>
      </c>
      <c r="D4" t="n">
        <v>87</v>
      </c>
      <c r="E4" s="2" t="n">
        <v>29.99</v>
      </c>
      <c r="F4" s="2">
        <f>D4*E4</f>
        <v/>
      </c>
      <c r="G4" s="2" t="n">
        <v>2500</v>
      </c>
      <c r="H4" s="3">
        <f>F4/G4</f>
        <v/>
      </c>
    </row>
    <row r="5">
      <c r="A5" t="inlineStr">
        <is>
          <t>Tomas Novak</t>
        </is>
      </c>
      <c r="B5" t="inlineStr">
        <is>
          <t>CEE</t>
        </is>
      </c>
      <c r="C5" t="inlineStr">
        <is>
          <t>Kern Basic</t>
        </is>
      </c>
      <c r="D5" t="n">
        <v>204</v>
      </c>
      <c r="E5" s="2" t="n">
        <v>9.99</v>
      </c>
      <c r="F5" s="2">
        <f>D5*E5</f>
        <v/>
      </c>
      <c r="G5" s="2" t="n">
        <v>2000</v>
      </c>
      <c r="H5" s="3">
        <f>F5/G5</f>
        <v/>
      </c>
    </row>
    <row r="6">
      <c r="A6" t="inlineStr">
        <is>
          <t>Riya Desai</t>
        </is>
      </c>
      <c r="B6" t="inlineStr">
        <is>
          <t>APAC</t>
        </is>
      </c>
      <c r="C6" t="inlineStr">
        <is>
          <t>Kern Pro</t>
        </is>
      </c>
      <c r="D6" t="n">
        <v>178</v>
      </c>
      <c r="E6" s="2" t="n">
        <v>29.99</v>
      </c>
      <c r="F6" s="2">
        <f>D6*E6</f>
        <v/>
      </c>
      <c r="G6" s="2" t="n">
        <v>5000</v>
      </c>
      <c r="H6" s="3">
        <f>F6/G6</f>
        <v/>
      </c>
    </row>
    <row r="7">
      <c r="A7" t="inlineStr">
        <is>
          <t>James Okonkwo</t>
        </is>
      </c>
      <c r="B7" t="inlineStr">
        <is>
          <t>Africa</t>
        </is>
      </c>
      <c r="C7" t="inlineStr">
        <is>
          <t>Kern Basic</t>
        </is>
      </c>
      <c r="D7" t="n">
        <v>95</v>
      </c>
      <c r="E7" s="2" t="n">
        <v>9.99</v>
      </c>
      <c r="F7" s="2">
        <f>D7*E7</f>
        <v/>
      </c>
      <c r="G7" s="2" t="n">
        <v>1500</v>
      </c>
      <c r="H7" s="3">
        <f>F7/G7</f>
        <v/>
      </c>
    </row>
    <row r="8">
      <c r="A8" t="inlineStr">
        <is>
          <t>Sofia Martins</t>
        </is>
      </c>
      <c r="B8" t="inlineStr">
        <is>
          <t>Iberia</t>
        </is>
      </c>
      <c r="C8" t="inlineStr">
        <is>
          <t>Kern Pro</t>
        </is>
      </c>
      <c r="D8" t="n">
        <v>133</v>
      </c>
      <c r="E8" s="2" t="n">
        <v>29.99</v>
      </c>
      <c r="F8" s="2">
        <f>D8*E8</f>
        <v/>
      </c>
      <c r="G8" s="2" t="n">
        <v>3500</v>
      </c>
      <c r="H8" s="3">
        <f>F8/G8</f>
        <v/>
      </c>
    </row>
    <row r="9">
      <c r="A9" t="inlineStr">
        <is>
          <t>Yuki Tanaka</t>
        </is>
      </c>
      <c r="B9" t="inlineStr">
        <is>
          <t>Japan</t>
        </is>
      </c>
      <c r="C9" t="inlineStr">
        <is>
          <t>Kern Basic</t>
        </is>
      </c>
      <c r="D9" t="n">
        <v>267</v>
      </c>
      <c r="E9" s="2" t="n">
        <v>9.99</v>
      </c>
      <c r="F9" s="2">
        <f>D9*E9</f>
        <v/>
      </c>
      <c r="G9" s="2" t="n">
        <v>3000</v>
      </c>
      <c r="H9" s="3">
        <f>F9/G9</f>
        <v/>
      </c>
    </row>
    <row r="10">
      <c r="A10" s="4" t="inlineStr">
        <is>
          <t>TOTAL</t>
        </is>
      </c>
      <c r="B10" s="4" t="inlineStr"/>
      <c r="C10" s="4" t="inlineStr"/>
      <c r="D10" s="4">
        <f>SUM(D2:D9)</f>
        <v/>
      </c>
      <c r="E10" s="4" t="inlineStr"/>
      <c r="F10" s="5">
        <f>SUM(F2:F9)</f>
        <v/>
      </c>
      <c r="G10" s="5">
        <f>SUM(G2:G9)</f>
        <v/>
      </c>
      <c r="H10" s="6">
        <f>F10/G10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7" t="inlineStr">
        <is>
          <t>Category</t>
        </is>
      </c>
      <c r="B1" s="7" t="inlineStr">
        <is>
          <t>Q1 Budget</t>
        </is>
      </c>
      <c r="C1" s="7" t="inlineStr">
        <is>
          <t>Q1 Actual</t>
        </is>
      </c>
      <c r="D1" s="7" t="inlineStr">
        <is>
          <t>Q2 Budget</t>
        </is>
      </c>
      <c r="E1" s="7" t="inlineStr">
        <is>
          <t>Q2 Actual (est)</t>
        </is>
      </c>
      <c r="F1" s="7" t="inlineStr">
        <is>
          <t>Annual Budget</t>
        </is>
      </c>
    </row>
    <row r="2">
      <c r="A2" t="inlineStr">
        <is>
          <t>Engineering</t>
        </is>
      </c>
      <c r="B2" s="8" t="n">
        <v>48000</v>
      </c>
      <c r="C2" s="8" t="n">
        <v>51200</v>
      </c>
      <c r="D2" s="8" t="n">
        <v>48000</v>
      </c>
      <c r="E2" s="8" t="n">
        <v>49000</v>
      </c>
      <c r="F2" s="8" t="n">
        <v>196000</v>
      </c>
    </row>
    <row r="3">
      <c r="A3" t="inlineStr">
        <is>
          <t>Marketing</t>
        </is>
      </c>
      <c r="B3" s="8" t="n">
        <v>22000</v>
      </c>
      <c r="C3" s="8" t="n">
        <v>19800</v>
      </c>
      <c r="D3" s="8" t="n">
        <v>25000</v>
      </c>
      <c r="E3" s="8" t="n">
        <v>23000</v>
      </c>
      <c r="F3" s="8" t="n">
        <v>94000</v>
      </c>
    </row>
    <row r="4">
      <c r="A4" t="inlineStr">
        <is>
          <t>Infrastructure</t>
        </is>
      </c>
      <c r="B4" s="8" t="n">
        <v>8500</v>
      </c>
      <c r="C4" s="8" t="n">
        <v>8100</v>
      </c>
      <c r="D4" s="8" t="n">
        <v>8500</v>
      </c>
      <c r="E4" s="8" t="n">
        <v>8200</v>
      </c>
      <c r="F4" s="8" t="n">
        <v>34000</v>
      </c>
    </row>
    <row r="5">
      <c r="A5" t="inlineStr">
        <is>
          <t>Legal &amp; Compliance</t>
        </is>
      </c>
      <c r="B5" s="8" t="n">
        <v>5000</v>
      </c>
      <c r="C5" s="8" t="n">
        <v>6200</v>
      </c>
      <c r="D5" s="8" t="n">
        <v>5000</v>
      </c>
      <c r="E5" s="8" t="n">
        <v>5000</v>
      </c>
      <c r="F5" s="8" t="n">
        <v>20000</v>
      </c>
    </row>
    <row r="6">
      <c r="A6" t="inlineStr">
        <is>
          <t>Office &amp; Admin</t>
        </is>
      </c>
      <c r="B6" s="8" t="n">
        <v>3000</v>
      </c>
      <c r="C6" s="8" t="n">
        <v>2750</v>
      </c>
      <c r="D6" s="8" t="n">
        <v>3000</v>
      </c>
      <c r="E6" s="8" t="n">
        <v>2900</v>
      </c>
      <c r="F6" s="8" t="n">
        <v>12000</v>
      </c>
    </row>
    <row r="7">
      <c r="A7" s="9" t="inlineStr">
        <is>
          <t>TOTAL</t>
        </is>
      </c>
      <c r="B7" s="9">
        <f>SUM(B2:B6)</f>
        <v/>
      </c>
      <c r="C7" s="9">
        <f>SUM(C2:C6)</f>
        <v/>
      </c>
      <c r="D7" s="9">
        <f>SUM(D2:D6)</f>
        <v/>
      </c>
      <c r="E7" s="9">
        <f>SUM(E2:E6)</f>
        <v/>
      </c>
      <c r="F7" s="9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2026-06-03T12:56:17Z</dcterms:created>
  <dcterms:modified xmlns:dcterms="http://purl.org/dc/terms/" xmlns:xsi="http://www.w3.org/2001/XMLSchema-instance" xsi:type="dcterms:W3CDTF">2026-06-03T12:56:17Z</dcterms:modified>
</cp:coreProperties>
</file>